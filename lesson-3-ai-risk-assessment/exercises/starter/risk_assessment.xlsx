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Rubric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NIST AI RMF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i val="1"/>
      <color rgb="00888888"/>
    </font>
    <font>
      <b val="1"/>
      <color rgb="00FFFFFF"/>
      <sz val="12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5" fillId="2" borderId="0" pivotButton="0" quotePrefix="0" xfId="0"/>
    <xf numFmtId="0" fontId="0" fillId="6" borderId="0" applyAlignment="1" pivotButton="0" quotePrefix="0" xfId="0">
      <alignment vertical="top" wrapText="1"/>
    </xf>
    <xf numFmtId="0" fontId="6" fillId="0" borderId="0" pivotButton="0" quotePrefix="0" xfId="0"/>
    <xf numFmtId="0" fontId="4" fillId="5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5" customHeight="1">
      <c r="A1" s="1" t="inlineStr">
        <is>
          <t>FinGuard AI - FraudShield Risk Assessment</t>
        </is>
      </c>
    </row>
    <row r="3">
      <c r="A3" s="2" t="inlineStr">
        <is>
          <t>FinGuard AI - AI Risk Assessment Exercise</t>
        </is>
      </c>
    </row>
    <row r="4">
      <c r="A4" s="2" t="inlineStr"/>
    </row>
    <row r="5">
      <c r="A5" s="3" t="inlineStr">
        <is>
          <t>COMPANY: FinGuard AI (400 employees)</t>
        </is>
      </c>
    </row>
    <row r="6">
      <c r="A6" s="3" t="inlineStr">
        <is>
          <t>SYSTEM: FraudShield - GenAI-powered fraud detection for real-time transaction monitoring</t>
        </is>
      </c>
    </row>
    <row r="7">
      <c r="A7" s="3" t="inlineStr">
        <is>
          <t>SCOPE: Retail banking customers across the EU</t>
        </is>
      </c>
    </row>
    <row r="8">
      <c r="A8" s="3" t="inlineStr">
        <is>
          <t>FUNCTION: Monitors transaction patterns, flags suspicious activity, auto-blocks high-risk transactions</t>
        </is>
      </c>
    </row>
    <row r="9">
      <c r="A9" s="2" t="inlineStr"/>
    </row>
    <row r="10">
      <c r="A10" s="2" t="inlineStr">
        <is>
          <t>RECENT INCIDENT:</t>
        </is>
      </c>
    </row>
    <row r="11">
      <c r="A11" s="2" t="inlineStr">
        <is>
          <t>FraudShield has been disproportionately flagging transactions from customers in lower-income zip codes, causing legitimate transactions to be blocked. Additionally, fraudsters have begun using adversarial techniques to bypass the detection model.</t>
        </is>
      </c>
    </row>
    <row r="12">
      <c r="A12" s="2" t="inlineStr"/>
    </row>
    <row r="13">
      <c r="A13" s="3" t="inlineStr">
        <is>
          <t>REGULATORY CONTEXT:</t>
        </is>
      </c>
    </row>
    <row r="14">
      <c r="A14" s="2" t="inlineStr">
        <is>
          <t>- GDPR: Applies to all EU customer data processing</t>
        </is>
      </c>
    </row>
    <row r="15">
      <c r="A15" s="2" t="inlineStr">
        <is>
          <t>- EU AI Act: FraudShield classified as High-Risk for credit and fraud decisions</t>
        </is>
      </c>
    </row>
    <row r="16">
      <c r="A16" s="2" t="inlineStr">
        <is>
          <t>- PSD2 (Payment Services Directive): Requires fraud prevention; blocking must be justified</t>
        </is>
      </c>
    </row>
    <row r="17">
      <c r="A17" s="2" t="inlineStr">
        <is>
          <t>- Right to Explanation: Customers must understand why transactions are flagged/blocked</t>
        </is>
      </c>
    </row>
    <row r="18">
      <c r="A18" s="2" t="inlineStr"/>
    </row>
    <row r="19">
      <c r="A19" s="3" t="inlineStr">
        <is>
          <t>YOUR TASK:</t>
        </is>
      </c>
    </row>
    <row r="20">
      <c r="A20" s="2" t="inlineStr">
        <is>
          <t>Identify all risks across NIST AI RMF categories (technical, ethical, legal, operational), populate the risk register with mitigation strategies, score risks, and generate an executive summary.</t>
        </is>
      </c>
    </row>
    <row r="23">
      <c r="A23" s="4" t="inlineStr">
        <is>
          <t>COLOR LEGEND:</t>
        </is>
      </c>
    </row>
    <row r="24">
      <c r="A24" s="5" t="inlineStr">
        <is>
          <t>Blue Header</t>
        </is>
      </c>
      <c r="B24" t="inlineStr">
        <is>
          <t>Section headers</t>
        </is>
      </c>
    </row>
    <row r="25">
      <c r="A25" s="6" t="inlineStr">
        <is>
          <t>Green</t>
        </is>
      </c>
      <c r="B25" t="inlineStr">
        <is>
          <t>Scenario information</t>
        </is>
      </c>
    </row>
    <row r="26">
      <c r="A26" s="7" t="inlineStr">
        <is>
          <t>Light Blue</t>
        </is>
      </c>
      <c r="B26" t="inlineStr">
        <is>
          <t>Pre-filled context</t>
        </is>
      </c>
    </row>
    <row r="27">
      <c r="A27" s="8" t="inlineStr">
        <is>
          <t>Light Pink</t>
        </is>
      </c>
      <c r="B27" t="inlineStr">
        <is>
          <t>Student work areas (with hints)</t>
        </is>
      </c>
    </row>
    <row r="28">
      <c r="A28" s="9" t="inlineStr">
        <is>
          <t>Yellow</t>
        </is>
      </c>
      <c r="B28" t="inlineStr">
        <is>
          <t>Reference/rubric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8" customWidth="1" min="5" max="5"/>
    <col width="10" customWidth="1" min="6" max="6"/>
    <col width="12" customWidth="1" min="7" max="7"/>
    <col width="10" customWidth="1" min="8" max="8"/>
    <col width="11" customWidth="1" min="9" max="9"/>
    <col width="35" customWidth="1" min="10" max="10"/>
    <col width="10" customWidth="1" min="11" max="11"/>
    <col width="10" customWidth="1" min="12" max="12"/>
    <col width="12" customWidth="1" min="13" max="13"/>
  </cols>
  <sheetData>
    <row r="1" ht="30" customHeight="1">
      <c r="A1" s="10" t="inlineStr">
        <is>
          <t>Risk ID</t>
        </is>
      </c>
      <c r="B1" s="10" t="inlineStr">
        <is>
          <t>NIST AI RMF Function</t>
        </is>
      </c>
      <c r="C1" s="10" t="inlineStr">
        <is>
          <t>Risk Category</t>
        </is>
      </c>
      <c r="D1" s="10" t="inlineStr">
        <is>
          <t>Risk Description</t>
        </is>
      </c>
      <c r="E1" s="10" t="inlineStr">
        <is>
          <t>Risk Owner</t>
        </is>
      </c>
      <c r="F1" s="10" t="inlineStr">
        <is>
          <t>Impact (1-5)</t>
        </is>
      </c>
      <c r="G1" s="10" t="inlineStr">
        <is>
          <t>Likelihood (1-5)</t>
        </is>
      </c>
      <c r="H1" s="10" t="inlineStr">
        <is>
          <t>Risk Score</t>
        </is>
      </c>
      <c r="I1" s="10" t="inlineStr">
        <is>
          <t>Risk Level</t>
        </is>
      </c>
      <c r="J1" s="10" t="inlineStr">
        <is>
          <t>Mitigation Strategy</t>
        </is>
      </c>
      <c r="K1" s="10" t="inlineStr">
        <is>
          <t>Priority</t>
        </is>
      </c>
      <c r="L1" s="10" t="inlineStr">
        <is>
          <t>Status</t>
        </is>
      </c>
      <c r="M1" s="10" t="inlineStr">
        <is>
          <t>Target Date</t>
        </is>
      </c>
    </row>
    <row r="2">
      <c r="A2" s="11" t="inlineStr">
        <is>
          <t>R001</t>
        </is>
      </c>
      <c r="B2" s="11" t="inlineStr">
        <is>
          <t>Measure</t>
        </is>
      </c>
      <c r="C2" s="11" t="inlineStr">
        <is>
          <t>Technical</t>
        </is>
      </c>
      <c r="D2" s="11" t="inlineStr">
        <is>
          <t>Model drift: FraudShield performance degrades as transaction patterns evolve and new payment methods emerge</t>
        </is>
      </c>
      <c r="E2" s="11" t="inlineStr">
        <is>
          <t>Data Science Lead</t>
        </is>
      </c>
      <c r="F2" s="11" t="n">
        <v>4</v>
      </c>
      <c r="G2" s="11" t="n">
        <v>4</v>
      </c>
      <c r="H2" s="11">
        <f>F2*G2</f>
        <v/>
      </c>
      <c r="I2" s="11">
        <f>IF(H2&gt;=15,"Critical",IF(H2&gt;=10,"High",IF(H2&gt;=5,"Medium","Low")))</f>
        <v/>
      </c>
      <c r="J2" s="11" t="inlineStr">
        <is>
          <t>Implement monthly model performance monitoring with automated drift detection; retrain quarterly on updated transaction data</t>
        </is>
      </c>
      <c r="K2" s="11" t="inlineStr">
        <is>
          <t>Critical</t>
        </is>
      </c>
      <c r="L2" s="11" t="inlineStr">
        <is>
          <t>Open</t>
        </is>
      </c>
      <c r="M2" s="11" t="inlineStr">
        <is>
          <t>TBD</t>
        </is>
      </c>
    </row>
    <row r="3">
      <c r="A3" s="11" t="inlineStr">
        <is>
          <t>R002</t>
        </is>
      </c>
      <c r="B3" s="11" t="inlineStr">
        <is>
          <t>Govern</t>
        </is>
      </c>
      <c r="C3" s="11" t="inlineStr">
        <is>
          <t>Ethical</t>
        </is>
      </c>
      <c r="D3" s="11" t="inlineStr">
        <is>
          <t>Socioeconomic bias: FraudShield disproportionately flags transactions from customers in lower-income zip codes, blocking legitimate purchases</t>
        </is>
      </c>
      <c r="E3" s="11" t="inlineStr">
        <is>
          <t>Ethics Officer</t>
        </is>
      </c>
      <c r="F3" s="11" t="n">
        <v>5</v>
      </c>
      <c r="G3" s="11" t="n">
        <v>4</v>
      </c>
      <c r="H3" s="11">
        <f>F3*G3</f>
        <v/>
      </c>
      <c r="I3" s="11">
        <f>IF(H3&gt;=15,"Critical",IF(H3&gt;=10,"High",IF(H3&gt;=5,"Medium","Low")))</f>
        <v/>
      </c>
      <c r="J3" s="11" t="inlineStr">
        <is>
          <t>Conduct fairness audit across income/demographic segments; implement bias-aware thresholds; remove zip code as direct feature; monitor disparity metrics monthly</t>
        </is>
      </c>
      <c r="K3" s="11" t="inlineStr">
        <is>
          <t>Critical</t>
        </is>
      </c>
      <c r="L3" s="11" t="inlineStr">
        <is>
          <t>Open</t>
        </is>
      </c>
      <c r="M3" s="11" t="inlineStr">
        <is>
          <t>TBD</t>
        </is>
      </c>
    </row>
    <row r="4">
      <c r="A4" s="11" t="inlineStr">
        <is>
          <t>R003</t>
        </is>
      </c>
      <c r="B4" s="11" t="inlineStr">
        <is>
          <t>Manage</t>
        </is>
      </c>
      <c r="C4" s="11" t="inlineStr">
        <is>
          <t>Technical</t>
        </is>
      </c>
      <c r="D4" s="11" t="inlineStr">
        <is>
          <t>Adversarial evasion: Fraudsters develop techniques to bypass FraudShield detection patterns, reducing system effectiveness</t>
        </is>
      </c>
      <c r="E4" s="11" t="inlineStr">
        <is>
          <t>ML Security Engineer</t>
        </is>
      </c>
      <c r="F4" s="11" t="n">
        <v>5</v>
      </c>
      <c r="G4" s="11" t="n">
        <v>3</v>
      </c>
      <c r="H4" s="11">
        <f>F4*G4</f>
        <v/>
      </c>
      <c r="I4" s="11">
        <f>IF(H4&gt;=15,"Critical",IF(H4&gt;=10,"High",IF(H4&gt;=5,"Medium","Low")))</f>
        <v/>
      </c>
      <c r="J4" s="11" t="inlineStr">
        <is>
          <t>Implement adversarial robustness testing quarterly; deploy adversarial detection module; continuously update model with adversarial examples</t>
        </is>
      </c>
      <c r="K4" s="11" t="inlineStr">
        <is>
          <t>Critical</t>
        </is>
      </c>
      <c r="L4" s="11" t="inlineStr">
        <is>
          <t>Open</t>
        </is>
      </c>
      <c r="M4" s="11" t="inlineStr">
        <is>
          <t>TBD</t>
        </is>
      </c>
    </row>
    <row r="5">
      <c r="A5" s="12" t="inlineStr">
        <is>
          <t>R004</t>
        </is>
      </c>
      <c r="B5" s="12" t="inlineStr">
        <is>
          <t>Measure</t>
        </is>
      </c>
      <c r="C5" s="12" t="inlineStr">
        <is>
          <t>Technical</t>
        </is>
      </c>
      <c r="D5" s="12" t="inlineStr">
        <is>
          <t>Data pipeline failures: Missing or corrupted transaction feeds lead to incomplete fraud analysis</t>
        </is>
      </c>
      <c r="E5" s="12" t="inlineStr">
        <is>
          <t>Data Engineering Lead</t>
        </is>
      </c>
      <c r="F5" s="13" t="inlineStr">
        <is>
          <t>[Your response here]</t>
        </is>
      </c>
      <c r="G5" s="13" t="inlineStr">
        <is>
          <t>[Your response here]</t>
        </is>
      </c>
      <c r="H5" s="12">
        <f>IF(F5="","",F5*G5)</f>
        <v/>
      </c>
      <c r="I5" s="12">
        <f>IF(F5="","",IF(H5&gt;=15,"Critical",IF(H5&gt;=10,"High",IF(H5&gt;=5,"Medium","Low"))))</f>
        <v/>
      </c>
      <c r="J5" s="13" t="inlineStr">
        <is>
          <t>[Your response here]</t>
        </is>
      </c>
      <c r="K5" s="13" t="inlineStr">
        <is>
          <t>[Your response here]</t>
        </is>
      </c>
      <c r="L5" s="12" t="inlineStr">
        <is>
          <t>[Your response here]</t>
        </is>
      </c>
      <c r="M5" s="12" t="inlineStr">
        <is>
          <t>[Your response here]</t>
        </is>
      </c>
    </row>
    <row r="6">
      <c r="A6" s="12" t="inlineStr">
        <is>
          <t>R005</t>
        </is>
      </c>
      <c r="B6" s="12" t="inlineStr">
        <is>
          <t>Manage</t>
        </is>
      </c>
      <c r="C6" s="12" t="inlineStr">
        <is>
          <t>Technical</t>
        </is>
      </c>
      <c r="D6" s="12" t="inlineStr">
        <is>
          <t>False positive flood: FraudShield blocks legitimate transactions at high rates, degrading customer experience</t>
        </is>
      </c>
      <c r="E6" s="12" t="inlineStr">
        <is>
          <t>Product Manager</t>
        </is>
      </c>
      <c r="F6" s="13" t="inlineStr">
        <is>
          <t>[Your response here]</t>
        </is>
      </c>
      <c r="G6" s="13" t="inlineStr">
        <is>
          <t>[Your response here]</t>
        </is>
      </c>
      <c r="H6" s="12">
        <f>IF(F6="","",F6*G6)</f>
        <v/>
      </c>
      <c r="I6" s="12">
        <f>IF(F6="","",IF(H6&gt;=15,"Critical",IF(H6&gt;=10,"High",IF(H6&gt;=5,"Medium","Low"))))</f>
        <v/>
      </c>
      <c r="J6" s="13" t="inlineStr">
        <is>
          <t>[Your response here]</t>
        </is>
      </c>
      <c r="K6" s="13" t="inlineStr">
        <is>
          <t>[Your response here]</t>
        </is>
      </c>
      <c r="L6" s="12" t="inlineStr">
        <is>
          <t>[Your response here]</t>
        </is>
      </c>
      <c r="M6" s="12" t="inlineStr">
        <is>
          <t>[Your response here]</t>
        </is>
      </c>
    </row>
    <row r="7">
      <c r="A7" s="12" t="inlineStr">
        <is>
          <t>R006</t>
        </is>
      </c>
      <c r="B7" s="12" t="inlineStr">
        <is>
          <t>Govern</t>
        </is>
      </c>
      <c r="C7" s="12" t="inlineStr">
        <is>
          <t>Ethical</t>
        </is>
      </c>
      <c r="D7" s="12" t="inlineStr">
        <is>
          <t>Lack of explainability: Customers whose transactions are blocked receive no explanation of why</t>
        </is>
      </c>
      <c r="E7" s="12" t="inlineStr">
        <is>
          <t>Ethics Officer</t>
        </is>
      </c>
      <c r="F7" s="13" t="inlineStr">
        <is>
          <t>[Your response here]</t>
        </is>
      </c>
      <c r="G7" s="13" t="inlineStr">
        <is>
          <t>[Your response here]</t>
        </is>
      </c>
      <c r="H7" s="12">
        <f>IF(F7="","",F7*G7)</f>
        <v/>
      </c>
      <c r="I7" s="12">
        <f>IF(F7="","",IF(H7&gt;=15,"Critical",IF(H7&gt;=10,"High",IF(H7&gt;=5,"Medium","Low"))))</f>
        <v/>
      </c>
      <c r="J7" s="13" t="inlineStr">
        <is>
          <t>[Your response here]</t>
        </is>
      </c>
      <c r="K7" s="13" t="inlineStr">
        <is>
          <t>[Your response here]</t>
        </is>
      </c>
      <c r="L7" s="12" t="inlineStr">
        <is>
          <t>[Your response here]</t>
        </is>
      </c>
      <c r="M7" s="12" t="inlineStr">
        <is>
          <t>[Your response here]</t>
        </is>
      </c>
    </row>
    <row r="8">
      <c r="A8" s="12" t="inlineStr">
        <is>
          <t>R007</t>
        </is>
      </c>
      <c r="B8" s="12" t="inlineStr">
        <is>
          <t>Govern</t>
        </is>
      </c>
      <c r="C8" s="12" t="inlineStr">
        <is>
          <t>Legal</t>
        </is>
      </c>
      <c r="D8" s="12" t="inlineStr">
        <is>
          <t>GDPR automated decision violation with GenAI hallucination risk: Automated blocking of transactions without human review violates Article 22; LLM-generated fraud explanations may be fabricated, misleading analysts</t>
        </is>
      </c>
      <c r="E8" s="12" t="inlineStr">
        <is>
          <t>Legal Counsel</t>
        </is>
      </c>
      <c r="F8" s="13" t="inlineStr">
        <is>
          <t>[Your response here]</t>
        </is>
      </c>
      <c r="G8" s="13" t="inlineStr">
        <is>
          <t>[Your response here]</t>
        </is>
      </c>
      <c r="H8" s="12">
        <f>IF(F8="","",F8*G8)</f>
        <v/>
      </c>
      <c r="I8" s="12">
        <f>IF(F8="","",IF(H8&gt;=15,"Critical",IF(H8&gt;=10,"High",IF(H8&gt;=5,"Medium","Low"))))</f>
        <v/>
      </c>
      <c r="J8" s="13" t="inlineStr">
        <is>
          <t>[Your response here]</t>
        </is>
      </c>
      <c r="K8" s="13" t="inlineStr">
        <is>
          <t>[Your response here]</t>
        </is>
      </c>
      <c r="L8" s="12" t="inlineStr">
        <is>
          <t>[Your response here]</t>
        </is>
      </c>
      <c r="M8" s="12" t="inlineStr">
        <is>
          <t>[Your response here]</t>
        </is>
      </c>
    </row>
    <row r="9">
      <c r="A9" s="12" t="inlineStr">
        <is>
          <t>R008</t>
        </is>
      </c>
      <c r="B9" s="12" t="inlineStr">
        <is>
          <t>Map</t>
        </is>
      </c>
      <c r="C9" s="12" t="inlineStr">
        <is>
          <t>Legal</t>
        </is>
      </c>
      <c r="D9" s="12" t="inlineStr">
        <is>
          <t>Right to explanation: Customers not informed of factors in blocking decisions per GDPR Arts 13-14</t>
        </is>
      </c>
      <c r="E9" s="12" t="inlineStr">
        <is>
          <t>Compliance Manager</t>
        </is>
      </c>
      <c r="F9" s="13" t="inlineStr">
        <is>
          <t>[Your response here]</t>
        </is>
      </c>
      <c r="G9" s="13" t="inlineStr">
        <is>
          <t>[Your response here]</t>
        </is>
      </c>
      <c r="H9" s="12">
        <f>IF(F9="","",F9*G9)</f>
        <v/>
      </c>
      <c r="I9" s="12">
        <f>IF(F9="","",IF(H9&gt;=15,"Critical",IF(H9&gt;=10,"High",IF(H9&gt;=5,"Medium","Low"))))</f>
        <v/>
      </c>
      <c r="J9" s="13" t="inlineStr">
        <is>
          <t>[Your response here]</t>
        </is>
      </c>
      <c r="K9" s="13" t="inlineStr">
        <is>
          <t>[Your response here]</t>
        </is>
      </c>
      <c r="L9" s="12" t="inlineStr">
        <is>
          <t>[Your response here]</t>
        </is>
      </c>
      <c r="M9" s="12" t="inlineStr">
        <is>
          <t>[Your response here]</t>
        </is>
      </c>
    </row>
    <row r="10">
      <c r="A10" s="12" t="inlineStr">
        <is>
          <t>R009</t>
        </is>
      </c>
      <c r="B10" s="12" t="inlineStr">
        <is>
          <t>Manage</t>
        </is>
      </c>
      <c r="C10" s="12" t="inlineStr">
        <is>
          <t>Operational</t>
        </is>
      </c>
      <c r="D10" s="12" t="inlineStr">
        <is>
          <t>System downtime: FraudShield unavailability during peak hours leaves transactions unmonitored</t>
        </is>
      </c>
      <c r="E10" s="12" t="inlineStr">
        <is>
          <t>Infrastructure Manager</t>
        </is>
      </c>
      <c r="F10" s="13" t="inlineStr">
        <is>
          <t>[Your response here]</t>
        </is>
      </c>
      <c r="G10" s="13" t="inlineStr">
        <is>
          <t>[Your response here]</t>
        </is>
      </c>
      <c r="H10" s="12">
        <f>IF(F10="","",F10*G10)</f>
        <v/>
      </c>
      <c r="I10" s="12">
        <f>IF(F10="","",IF(H10&gt;=15,"Critical",IF(H10&gt;=10,"High",IF(H10&gt;=5,"Medium","Low"))))</f>
        <v/>
      </c>
      <c r="J10" s="13" t="inlineStr">
        <is>
          <t>[Your response here]</t>
        </is>
      </c>
      <c r="K10" s="13" t="inlineStr">
        <is>
          <t>[Your response here]</t>
        </is>
      </c>
      <c r="L10" s="12" t="inlineStr">
        <is>
          <t>[Your response here]</t>
        </is>
      </c>
      <c r="M10" s="12" t="inlineStr">
        <is>
          <t>[Your response here]</t>
        </is>
      </c>
    </row>
    <row r="11">
      <c r="A11" s="12" t="inlineStr">
        <is>
          <t>R010</t>
        </is>
      </c>
      <c r="B11" s="12" t="inlineStr">
        <is>
          <t>Map</t>
        </is>
      </c>
      <c r="C11" s="12" t="inlineStr">
        <is>
          <t>Operational</t>
        </is>
      </c>
      <c r="D11" s="12" t="inlineStr">
        <is>
          <t>Staff training gaps: Analysts lack understanding of model limitations and bias risks</t>
        </is>
      </c>
      <c r="E11" s="12" t="inlineStr">
        <is>
          <t>Training Manager</t>
        </is>
      </c>
      <c r="F11" s="13" t="inlineStr">
        <is>
          <t>[Your response here]</t>
        </is>
      </c>
      <c r="G11" s="13" t="inlineStr">
        <is>
          <t>[Your response here]</t>
        </is>
      </c>
      <c r="H11" s="12">
        <f>IF(F11="","",F11*G11)</f>
        <v/>
      </c>
      <c r="I11" s="12">
        <f>IF(F11="","",IF(H11&gt;=15,"Critical",IF(H11&gt;=10,"High",IF(H11&gt;=5,"Medium","Low"))))</f>
        <v/>
      </c>
      <c r="J11" s="13" t="inlineStr">
        <is>
          <t>[Your response here]</t>
        </is>
      </c>
      <c r="K11" s="13" t="inlineStr">
        <is>
          <t>[Your response here]</t>
        </is>
      </c>
      <c r="L11" s="12" t="inlineStr">
        <is>
          <t>[Your response here]</t>
        </is>
      </c>
      <c r="M11" s="12" t="inlineStr">
        <is>
          <t>[Your response here]</t>
        </is>
      </c>
    </row>
    <row r="12">
      <c r="A12" s="12" t="inlineStr">
        <is>
          <t>R011</t>
        </is>
      </c>
      <c r="B12" s="12" t="inlineStr">
        <is>
          <t>Manage</t>
        </is>
      </c>
      <c r="C12" s="12" t="inlineStr">
        <is>
          <t>Operational</t>
        </is>
      </c>
      <c r="D12" s="12" t="inlineStr">
        <is>
          <t>Third-party vendor dependency: Reliance on external transaction data feeds with no backup</t>
        </is>
      </c>
      <c r="E12" s="12" t="inlineStr">
        <is>
          <t>Vendor Manager</t>
        </is>
      </c>
      <c r="F12" s="13" t="inlineStr">
        <is>
          <t>"2"
Reasoning: Impact=2 (Low): Losing a data feed temporarily degrades detection capability. Impact is manageable given data redundancy and alternative sources.</t>
        </is>
      </c>
      <c r="G12" s="13" t="inlineStr">
        <is>
          <t>"2"
Reasoning: Likelihood=2 (Unlikely): Established vendors rarely fail completely. With proper vendor SLAs, failure is unlikely.</t>
        </is>
      </c>
      <c r="H12" s="12" t="n">
        <v>4</v>
      </c>
      <c r="I12" s="12" t="inlineStr">
        <is>
          <t>"Low"
Reasoning: Score 4 (&lt;5) = Low. Standard vendor risk management with acceptable mitigation strategies.</t>
        </is>
      </c>
      <c r="J12" s="13" t="inlineStr">
        <is>
          <t>[Your response here]</t>
        </is>
      </c>
      <c r="K12" s="13" t="inlineStr">
        <is>
          <t>[Your response here]</t>
        </is>
      </c>
      <c r="L12" s="12" t="inlineStr">
        <is>
          <t>[Your response here]</t>
        </is>
      </c>
      <c r="M12" s="12" t="inlineStr">
        <is>
          <t>[Your response here]</t>
        </is>
      </c>
    </row>
    <row r="13">
      <c r="A13" s="12" t="inlineStr">
        <is>
          <t>R012</t>
        </is>
      </c>
      <c r="B13" s="12" t="inlineStr">
        <is>
          <t>Measure</t>
        </is>
      </c>
      <c r="C13" s="12" t="inlineStr">
        <is>
          <t>Technical</t>
        </is>
      </c>
      <c r="D13" s="12" t="inlineStr">
        <is>
          <t>Concept drift with GenAI foundation model updates: New fraud patterns emerge that weren't in training data, reducing detection accuracy; foundation model updates may change FraudShield behavior unpredictably</t>
        </is>
      </c>
      <c r="E13" s="12" t="inlineStr">
        <is>
          <t>Data Science Lead</t>
        </is>
      </c>
      <c r="F13" s="13" t="inlineStr">
        <is>
          <t>[Your response here]</t>
        </is>
      </c>
      <c r="G13" s="13" t="inlineStr">
        <is>
          <t>[Your response here]</t>
        </is>
      </c>
      <c r="H13" s="12">
        <f>IF(F13="","",F13*G13)</f>
        <v/>
      </c>
      <c r="I13" s="12">
        <f>IF(F13="","",IF(H13&gt;=15,"Critical",IF(H13&gt;=10,"High",IF(H13&gt;=5,"Medium","Low"))))</f>
        <v/>
      </c>
      <c r="J13" s="13" t="inlineStr">
        <is>
          <t>[Your response here]</t>
        </is>
      </c>
      <c r="K13" s="13" t="inlineStr">
        <is>
          <t>[Your response here]</t>
        </is>
      </c>
      <c r="L13" s="12" t="inlineStr">
        <is>
          <t>[Your response here]</t>
        </is>
      </c>
      <c r="M13" s="12" t="inlineStr">
        <is>
          <t>[Your response here]</t>
        </is>
      </c>
    </row>
    <row r="14">
      <c r="A14" s="12" t="inlineStr">
        <is>
          <t>R013</t>
        </is>
      </c>
      <c r="B14" s="12" t="inlineStr">
        <is>
          <t>Map</t>
        </is>
      </c>
      <c r="C14" s="12" t="inlineStr">
        <is>
          <t>Ethical</t>
        </is>
      </c>
      <c r="D14" s="12" t="inlineStr">
        <is>
          <t>Unequal error rates: False positive rates differ significantly across demographic segments beyond income</t>
        </is>
      </c>
      <c r="E14" s="12" t="inlineStr">
        <is>
          <t>Analytics Lead</t>
        </is>
      </c>
      <c r="F14" s="13" t="inlineStr">
        <is>
          <t>[Your response here]</t>
        </is>
      </c>
      <c r="G14" s="13" t="inlineStr">
        <is>
          <t>[Your response here]</t>
        </is>
      </c>
      <c r="H14" s="12">
        <f>IF(F14="","",F14*G14)</f>
        <v/>
      </c>
      <c r="I14" s="12">
        <f>IF(F14="","",IF(H14&gt;=15,"Critical",IF(H14&gt;=10,"High",IF(H14&gt;=5,"Medium","Low"))))</f>
        <v/>
      </c>
      <c r="J14" s="13" t="inlineStr">
        <is>
          <t>[Your response here]</t>
        </is>
      </c>
      <c r="K14" s="13" t="inlineStr">
        <is>
          <t>[Your response here]</t>
        </is>
      </c>
      <c r="L14" s="12" t="inlineStr">
        <is>
          <t>[Your response here]</t>
        </is>
      </c>
      <c r="M14" s="12" t="inlineStr">
        <is>
          <t>[Your response here]</t>
        </is>
      </c>
    </row>
    <row r="15">
      <c r="A15" s="12" t="inlineStr">
        <is>
          <t>R014</t>
        </is>
      </c>
      <c r="B15" s="12" t="inlineStr">
        <is>
          <t>Govern</t>
        </is>
      </c>
      <c r="C15" s="12" t="inlineStr">
        <is>
          <t>Legal</t>
        </is>
      </c>
      <c r="D15" s="12" t="inlineStr">
        <is>
          <t>Data retention non-compliance: Transaction monitoring data stored beyond regulatory limits</t>
        </is>
      </c>
      <c r="E15" s="12" t="inlineStr">
        <is>
          <t>Data Protection Officer</t>
        </is>
      </c>
      <c r="F15" s="13" t="inlineStr">
        <is>
          <t>"2"
Reasoning: Impact=2 (Low): Non-compliance creates minor regulatory exposure, mostly administrative in nature.</t>
        </is>
      </c>
      <c r="G15" s="13" t="inlineStr">
        <is>
          <t>"2"
Reasoning: Likelihood=2 (Unlikely): Data retention violations are not a priority for most regulators.</t>
        </is>
      </c>
      <c r="H15" s="12" t="n">
        <v>4</v>
      </c>
      <c r="I15" s="12" t="inlineStr">
        <is>
          <t>"Low"
Reasoning: Score 4 (&lt;5) = Low. Data retention is important compliance housekeeping but lower risk tier.</t>
        </is>
      </c>
      <c r="J15" s="13" t="inlineStr">
        <is>
          <t>[Your response here]</t>
        </is>
      </c>
      <c r="K15" s="13" t="inlineStr">
        <is>
          <t>[Your response here]</t>
        </is>
      </c>
      <c r="L15" s="12" t="inlineStr">
        <is>
          <t>[Your response here]</t>
        </is>
      </c>
      <c r="M15" s="12" t="inlineStr">
        <is>
          <t>[Your response here]</t>
        </is>
      </c>
    </row>
    <row r="16">
      <c r="A16" s="12" t="inlineStr">
        <is>
          <t>R015</t>
        </is>
      </c>
      <c r="B16" s="12" t="inlineStr">
        <is>
          <t>Measure</t>
        </is>
      </c>
      <c r="C16" s="12" t="inlineStr">
        <is>
          <t>Technical</t>
        </is>
      </c>
      <c r="D16" s="12" t="inlineStr">
        <is>
          <t>Model interpretability gap: Cannot audit how specific fraud decisions are made, hindering regulatory review</t>
        </is>
      </c>
      <c r="E16" s="12" t="inlineStr">
        <is>
          <t>Data Science Lead</t>
        </is>
      </c>
      <c r="F16" s="13" t="inlineStr">
        <is>
          <t>[Your response here]</t>
        </is>
      </c>
      <c r="G16" s="13" t="inlineStr">
        <is>
          <t>[Your response here]</t>
        </is>
      </c>
      <c r="H16" s="12">
        <f>IF(F16="","",F16*G16)</f>
        <v/>
      </c>
      <c r="I16" s="12">
        <f>IF(F16="","",IF(H16&gt;=15,"Critical",IF(H16&gt;=10,"High",IF(H16&gt;=5,"Medium","Low"))))</f>
        <v/>
      </c>
      <c r="J16" s="13" t="inlineStr">
        <is>
          <t>[Your response here]</t>
        </is>
      </c>
      <c r="K16" s="13" t="inlineStr">
        <is>
          <t>[Your response here]</t>
        </is>
      </c>
      <c r="L16" s="12" t="inlineStr">
        <is>
          <t>[Your response here]</t>
        </is>
      </c>
      <c r="M16" s="12" t="inlineStr">
        <is>
          <t>[Your response here]</t>
        </is>
      </c>
    </row>
    <row r="17">
      <c r="A17" t="inlineStr">
        <is>
          <t>R016</t>
        </is>
      </c>
    </row>
    <row r="18">
      <c r="A18" t="inlineStr">
        <is>
          <t>R017</t>
        </is>
      </c>
    </row>
    <row r="19">
      <c r="A19" t="inlineStr">
        <is>
          <t>R018</t>
        </is>
      </c>
    </row>
    <row r="20">
      <c r="A20" t="inlineStr">
        <is>
          <t>R016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4" t="inlineStr">
        <is>
          <t>IMPACT SCALE (1-5)</t>
        </is>
      </c>
    </row>
    <row r="2">
      <c r="A2" s="9" t="n">
        <v>1</v>
      </c>
      <c r="B2" s="15" t="inlineStr">
        <is>
          <t>Negligible - Minimal organizational or user impact</t>
        </is>
      </c>
    </row>
    <row r="3">
      <c r="A3" s="9" t="n">
        <v>2</v>
      </c>
      <c r="B3" s="15" t="inlineStr">
        <is>
          <t>Minor - Limited impact; issue affects small subset of users</t>
        </is>
      </c>
    </row>
    <row r="4">
      <c r="A4" s="9" t="n">
        <v>3</v>
      </c>
      <c r="B4" s="15" t="inlineStr">
        <is>
          <t>Moderate - Noticeable impact; affects significant subset; may require remediation</t>
        </is>
      </c>
    </row>
    <row r="5">
      <c r="A5" s="9" t="n">
        <v>4</v>
      </c>
      <c r="B5" s="15" t="inlineStr">
        <is>
          <t>Major - Severe impact; affects large user population; regulatory concern</t>
        </is>
      </c>
    </row>
    <row r="6">
      <c r="A6" s="9" t="n">
        <v>5</v>
      </c>
      <c r="B6" s="15" t="inlineStr">
        <is>
          <t>Catastrophic - System failure; massive user harm; regulatory violation; brand damage</t>
        </is>
      </c>
    </row>
    <row r="7" ht="15" customHeight="1"/>
    <row r="8">
      <c r="A8" s="14" t="inlineStr">
        <is>
          <t>LIKELIHOOD SCALE (1-5)</t>
        </is>
      </c>
    </row>
    <row r="9">
      <c r="A9" s="9" t="n">
        <v>1</v>
      </c>
      <c r="B9" s="15" t="inlineStr">
        <is>
          <t>Rare - Extremely unlikely to occur (&lt;5% chance)</t>
        </is>
      </c>
    </row>
    <row r="10">
      <c r="A10" s="9" t="n">
        <v>2</v>
      </c>
      <c r="B10" s="15" t="inlineStr">
        <is>
          <t>Unlikely - Low probability of occurrence (5-25%)</t>
        </is>
      </c>
    </row>
    <row r="11">
      <c r="A11" s="9" t="n">
        <v>3</v>
      </c>
      <c r="B11" s="15" t="inlineStr">
        <is>
          <t>Possible - Moderate probability; could occur (25-50%)</t>
        </is>
      </c>
    </row>
    <row r="12">
      <c r="A12" s="9" t="n">
        <v>4</v>
      </c>
      <c r="B12" s="15" t="inlineStr">
        <is>
          <t>Likely - High probability; probable within 12 months (50-75%)</t>
        </is>
      </c>
    </row>
    <row r="13">
      <c r="A13" s="9" t="n">
        <v>5</v>
      </c>
      <c r="B13" s="15" t="inlineStr">
        <is>
          <t>Almost Certain - Very likely; expected to occur (&gt;75%)</t>
        </is>
      </c>
    </row>
    <row r="14" ht="15" customHeight="1"/>
    <row r="15">
      <c r="A15" s="14" t="inlineStr">
        <is>
          <t>RISK LEVEL MATRIX</t>
        </is>
      </c>
    </row>
    <row r="16">
      <c r="A16" s="9" t="inlineStr">
        <is>
          <t>CRITICAL</t>
        </is>
      </c>
      <c r="B16" s="15" t="inlineStr">
        <is>
          <t>≥15 - Immediate executive attention; escalate</t>
        </is>
      </c>
    </row>
    <row r="17">
      <c r="A17" s="9" t="inlineStr">
        <is>
          <t>HIGH</t>
        </is>
      </c>
      <c r="B17" s="15" t="inlineStr">
        <is>
          <t>10-14 - Prioritize mitigation within 30 days</t>
        </is>
      </c>
    </row>
    <row r="18">
      <c r="A18" s="9" t="inlineStr">
        <is>
          <t>MEDIUM</t>
        </is>
      </c>
      <c r="B18" s="15" t="inlineStr">
        <is>
          <t>5-9 - Plan mitigation; schedule within 90 days</t>
        </is>
      </c>
    </row>
    <row r="19">
      <c r="A19" s="9" t="inlineStr">
        <is>
          <t>LOW</t>
        </is>
      </c>
      <c r="B19" s="15" t="inlineStr">
        <is>
          <t>1-4 - Monitor; mitigate as resources allow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4" t="inlineStr">
        <is>
          <t>EXECUTIVE SUMMARY - FINGUARD AI RISK ASSESSMENT</t>
        </is>
      </c>
    </row>
    <row r="2"/>
    <row r="3">
      <c r="A3" s="16" t="inlineStr">
        <is>
          <t>RISK OVERVIEW</t>
        </is>
      </c>
    </row>
    <row r="4">
      <c r="A4" t="inlineStr">
        <is>
          <t>Total Risks Identified:</t>
        </is>
      </c>
      <c r="B4">
        <f>COUNTA('Risk Register'!A2:A16)</f>
        <v/>
      </c>
    </row>
    <row r="5">
      <c r="A5" t="inlineStr">
        <is>
          <t>Critical Risks:</t>
        </is>
      </c>
      <c r="B5">
        <f>COUNTIF('Risk Register'!I2:I16,"Critical")</f>
        <v/>
      </c>
    </row>
    <row r="6">
      <c r="A6" t="inlineStr">
        <is>
          <t>High Risks:</t>
        </is>
      </c>
      <c r="B6">
        <f>COUNTIF('Risk Register'!I2:I16,"High")</f>
        <v/>
      </c>
    </row>
    <row r="7">
      <c r="A7" t="inlineStr">
        <is>
          <t>Medium Risks:</t>
        </is>
      </c>
      <c r="B7">
        <f>COUNTIF('Risk Register'!I2:I16,"Medium")</f>
        <v/>
      </c>
    </row>
    <row r="8">
      <c r="A8" t="inlineStr">
        <is>
          <t>Low Risks:</t>
        </is>
      </c>
      <c r="B8">
        <f>COUNTIF('Risk Register'!I2:I16,"Low")</f>
        <v/>
      </c>
    </row>
    <row r="9"/>
    <row r="10">
      <c r="A10" s="16" t="inlineStr">
        <is>
          <t>RISKS BY CATEGORY</t>
        </is>
      </c>
    </row>
    <row r="11">
      <c r="A11" t="inlineStr">
        <is>
          <t>Technical Risks:</t>
        </is>
      </c>
      <c r="B11">
        <f>COUNTIF('Risk Register'!C2:C16,"Technical")</f>
        <v/>
      </c>
    </row>
    <row r="12">
      <c r="A12" t="inlineStr">
        <is>
          <t>Ethical Risks:</t>
        </is>
      </c>
      <c r="B12">
        <f>COUNTIF('Risk Register'!C2:C16,"Ethical")</f>
        <v/>
      </c>
    </row>
    <row r="13">
      <c r="A13" t="inlineStr">
        <is>
          <t>Legal Risks:</t>
        </is>
      </c>
      <c r="B13">
        <f>COUNTIF('Risk Register'!C2:C16,"Legal")</f>
        <v/>
      </c>
    </row>
    <row r="14">
      <c r="A14" t="inlineStr">
        <is>
          <t>Operational Risks:</t>
        </is>
      </c>
      <c r="B14">
        <f>COUNTIF('Risk Register'!C2:C16,"Operational")</f>
        <v/>
      </c>
    </row>
    <row r="15"/>
    <row r="16">
      <c r="A16" s="16" t="inlineStr">
        <is>
          <t>RISKS BY NIST FUNCTION</t>
        </is>
      </c>
    </row>
    <row r="17">
      <c r="A17" t="inlineStr">
        <is>
          <t>Govern Risks:</t>
        </is>
      </c>
      <c r="B17">
        <f>COUNTIF('Risk Register'!B2:B16,"Govern")</f>
        <v/>
      </c>
    </row>
    <row r="18">
      <c r="A18" t="inlineStr">
        <is>
          <t>Map Risks:</t>
        </is>
      </c>
      <c r="B18">
        <f>COUNTIF('Risk Register'!B2:B16,"Map")</f>
        <v/>
      </c>
    </row>
    <row r="19">
      <c r="A19" t="inlineStr">
        <is>
          <t>Measure Risks:</t>
        </is>
      </c>
      <c r="B19">
        <f>COUNTIF('Risk Register'!B2:B16,"Measure")</f>
        <v/>
      </c>
    </row>
    <row r="20">
      <c r="A20" t="inlineStr">
        <is>
          <t>Manage Risks:</t>
        </is>
      </c>
      <c r="B20">
        <f>COUNTIF('Risk Register'!B2:B16,"Manage")</f>
        <v/>
      </c>
    </row>
    <row r="21"/>
    <row r="22">
      <c r="A22" s="16" t="inlineStr">
        <is>
          <t>KEY FINDINGS</t>
        </is>
      </c>
    </row>
    <row r="23" ht="30" customHeight="1">
      <c r="A23" s="17" t="inlineStr">
        <is>
          <t>Hint: Summarize the overall risk posture — what is the biggest concern?</t>
        </is>
      </c>
    </row>
    <row r="24" ht="30" customHeight="1">
      <c r="A24" s="17" t="inlineStr">
        <is>
          <t>Hint: What patterns do you see across categories? Any clusters of risk?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70" customWidth="1" min="3" max="3"/>
  </cols>
  <sheetData>
    <row r="1">
      <c r="A1" s="18" t="inlineStr">
        <is>
          <t>Function</t>
        </is>
      </c>
      <c r="B1" s="18" t="inlineStr">
        <is>
          <t>Description</t>
        </is>
      </c>
      <c r="C1" s="18" t="inlineStr">
        <is>
          <t>Key Activities</t>
        </is>
      </c>
    </row>
    <row r="2" ht="40" customHeight="1">
      <c r="A2" s="15" t="inlineStr">
        <is>
          <t>Govern</t>
        </is>
      </c>
      <c r="B2" s="15" t="inlineStr">
        <is>
          <t>Organizational processes and structures for oversight and accountability</t>
        </is>
      </c>
      <c r="C2" s="15" t="inlineStr">
        <is>
          <t>Define AI governance policies, accountability frameworks, ethics guidelines, stakeholder engagement</t>
        </is>
      </c>
    </row>
    <row r="3" ht="40" customHeight="1">
      <c r="A3" s="15" t="inlineStr">
        <is>
          <t>Map</t>
        </is>
      </c>
      <c r="B3" s="15" t="inlineStr">
        <is>
          <t>Systematic detection and analysis of AI risks throughout system lifecycle</t>
        </is>
      </c>
      <c r="C3" s="15" t="inlineStr">
        <is>
          <t>Risk identification, assessment, documentation, stakeholder communication, monitoring plans</t>
        </is>
      </c>
    </row>
    <row r="4" ht="40" customHeight="1">
      <c r="A4" s="15" t="inlineStr">
        <is>
          <t>Measure</t>
        </is>
      </c>
      <c r="B4" s="15" t="inlineStr">
        <is>
          <t>Design and validation of measurements to address identified risks</t>
        </is>
      </c>
      <c r="C4" s="15" t="inlineStr">
        <is>
          <t>Performance monitoring, fairness metrics, bias testing, model validation, continuous evaluation</t>
        </is>
      </c>
    </row>
    <row r="5" ht="40" customHeight="1">
      <c r="A5" s="15" t="inlineStr">
        <is>
          <t>Manage</t>
        </is>
      </c>
      <c r="B5" s="15" t="inlineStr">
        <is>
          <t>Implementation of plans and processes to mitigate risks</t>
        </is>
      </c>
      <c r="C5" s="15" t="inlineStr">
        <is>
          <t>Deploy controls, implement mitigations, incident response, continuous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2026-02-25T00:40:27Z</dcterms:created>
  <dcterms:modified xmlns:dcterms="http://purl.org/dc/terms/" xmlns:xsi="http://www.w3.org/2001/XMLSchema-instance" xsi:type="dcterms:W3CDTF">2026-03-14T04:32:04Z</dcterms:modified>
</cp:coreProperties>
</file>